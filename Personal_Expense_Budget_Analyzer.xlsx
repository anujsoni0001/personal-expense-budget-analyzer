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ujsoni/Downloads/"/>
    </mc:Choice>
  </mc:AlternateContent>
  <xr:revisionPtr revIDLastSave="0" documentId="8_{5AA6FB8F-0F34-E243-9BA7-DDB31F10BF8A}" xr6:coauthVersionLast="47" xr6:coauthVersionMax="47" xr10:uidLastSave="{00000000-0000-0000-0000-000000000000}"/>
  <bookViews>
    <workbookView xWindow="0" yWindow="660" windowWidth="29400" windowHeight="17280" xr2:uid="{F36CB321-0ECD-D74E-B1C4-637200458459}"/>
  </bookViews>
  <sheets>
    <sheet name="Transactions " sheetId="1" r:id="rId1"/>
    <sheet name="Budget Vs Actual" sheetId="2" r:id="rId2"/>
    <sheet name="Analysis" sheetId="3" r:id="rId3"/>
    <sheet name="D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3" i="3"/>
  <c r="B2" i="3"/>
  <c r="C3" i="2"/>
  <c r="C4" i="2"/>
  <c r="C5" i="2"/>
  <c r="C6" i="2"/>
  <c r="C7" i="2"/>
  <c r="C8" i="2"/>
  <c r="C2" i="2"/>
  <c r="A5" i="4" l="1"/>
  <c r="B6" i="3"/>
  <c r="C5" i="4"/>
  <c r="D3" i="2"/>
  <c r="E3" i="2" s="1"/>
  <c r="D4" i="2"/>
  <c r="E4" i="2" s="1"/>
  <c r="D5" i="2"/>
  <c r="E5" i="2" s="1"/>
  <c r="D6" i="2"/>
  <c r="E6" i="2" s="1"/>
  <c r="D7" i="2"/>
  <c r="E7" i="2" s="1"/>
  <c r="D8" i="2"/>
  <c r="E8" i="2" s="1"/>
  <c r="D2" i="2"/>
  <c r="E2" i="2" s="1"/>
  <c r="B4" i="3"/>
  <c r="B5" i="3" l="1"/>
  <c r="G5" i="4" s="1"/>
  <c r="E5" i="4"/>
</calcChain>
</file>

<file path=xl/sharedStrings.xml><?xml version="1.0" encoding="utf-8"?>
<sst xmlns="http://schemas.openxmlformats.org/spreadsheetml/2006/main" count="92" uniqueCount="49">
  <si>
    <t xml:space="preserve">Category </t>
  </si>
  <si>
    <t>Date</t>
  </si>
  <si>
    <t>Type</t>
  </si>
  <si>
    <t>Category</t>
  </si>
  <si>
    <t>Description</t>
  </si>
  <si>
    <t>Payment Mode</t>
  </si>
  <si>
    <t>Amount</t>
  </si>
  <si>
    <t>Income</t>
  </si>
  <si>
    <t>Allowance</t>
  </si>
  <si>
    <t>Monthly Allowance</t>
  </si>
  <si>
    <t>UPI</t>
  </si>
  <si>
    <t>Expense</t>
  </si>
  <si>
    <t>Food</t>
  </si>
  <si>
    <t>Mess &amp; Meals</t>
  </si>
  <si>
    <t>Travel</t>
  </si>
  <si>
    <t>Auto/Local Travel</t>
  </si>
  <si>
    <t>Education</t>
  </si>
  <si>
    <t>Books &amp; Study Material</t>
  </si>
  <si>
    <t>Gym/Fitness</t>
  </si>
  <si>
    <t>Gym &amp; Supplements</t>
  </si>
  <si>
    <t>Shopping</t>
  </si>
  <si>
    <t>Clothes &amp; Personal Items</t>
  </si>
  <si>
    <t>Card</t>
  </si>
  <si>
    <t>Entertainment</t>
  </si>
  <si>
    <t>Movies &amp; Outings</t>
  </si>
  <si>
    <t>Snacks &amp; Eating Out</t>
  </si>
  <si>
    <t>Cab/Auto</t>
  </si>
  <si>
    <t>Course/Study Material</t>
  </si>
  <si>
    <t>Eating Out</t>
  </si>
  <si>
    <t>Fitness Expenses</t>
  </si>
  <si>
    <t>Personal Items</t>
  </si>
  <si>
    <t>Outing</t>
  </si>
  <si>
    <t>Meals &amp; Snacks</t>
  </si>
  <si>
    <t xml:space="preserve">Budget </t>
  </si>
  <si>
    <t xml:space="preserve">Actual </t>
  </si>
  <si>
    <t xml:space="preserve">Variance </t>
  </si>
  <si>
    <t xml:space="preserve">Status </t>
  </si>
  <si>
    <t>Other</t>
  </si>
  <si>
    <t>Financial Metric</t>
  </si>
  <si>
    <t>Value</t>
  </si>
  <si>
    <t xml:space="preserve">Total Income </t>
  </si>
  <si>
    <t>Total Expenses</t>
  </si>
  <si>
    <t>Net Savings</t>
  </si>
  <si>
    <t>Savings Rate</t>
  </si>
  <si>
    <t>Highest Spending Category</t>
  </si>
  <si>
    <t>Largest Expense</t>
  </si>
  <si>
    <t>PERSONAL EXPENSE &amp; BUDGET ANALYZER</t>
  </si>
  <si>
    <t>Monthly Financial Summary | Excel-Based Financial Analysis</t>
  </si>
  <si>
    <t xml:space="preserve">Savings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</si>
</sst>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[$₹-4009]\ #,##0"/>
    <numFmt numFmtId="166" formatCode="0.0%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  <font>
      <b/>
      <sz val="10"/>
      <color theme="1"/>
      <name val="Arial Unicode MS"/>
      <family val="2"/>
    </font>
    <font>
      <b/>
      <sz val="16"/>
      <color theme="0"/>
      <name val="Aptos Narrow"/>
      <scheme val="minor"/>
    </font>
    <font>
      <b/>
      <sz val="14"/>
      <color theme="1"/>
      <name val="IrisUPC Italic"/>
    </font>
    <font>
      <b/>
      <sz val="14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0" fontId="3" fillId="0" borderId="1" xfId="0" applyFont="1" applyBorder="1"/>
    <xf numFmtId="165" fontId="0" fillId="0" borderId="1" xfId="0" applyNumberFormat="1" applyBorder="1"/>
    <xf numFmtId="0" fontId="4" fillId="0" borderId="1" xfId="0" applyFont="1" applyBorder="1"/>
    <xf numFmtId="166" fontId="0" fillId="0" borderId="1" xfId="1" applyNumberFormat="1" applyFont="1" applyBorder="1"/>
    <xf numFmtId="0" fontId="3" fillId="0" borderId="1" xfId="0" applyFont="1" applyBorder="1" applyAlignment="1">
      <alignment horizontal="right" vertical="center"/>
    </xf>
    <xf numFmtId="0" fontId="5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6" fillId="0" borderId="1" xfId="0" applyFont="1" applyBorder="1"/>
    <xf numFmtId="0" fontId="4" fillId="0" borderId="0" xfId="0" applyFont="1"/>
    <xf numFmtId="0" fontId="9" fillId="0" borderId="0" xfId="0" applyFont="1"/>
    <xf numFmtId="0" fontId="9" fillId="0" borderId="1" xfId="0" applyFont="1" applyBorder="1"/>
    <xf numFmtId="165" fontId="4" fillId="3" borderId="1" xfId="0" applyNumberFormat="1" applyFont="1" applyFill="1" applyBorder="1"/>
    <xf numFmtId="166" fontId="4" fillId="3" borderId="1" xfId="1" applyNumberFormat="1" applyFont="1" applyFill="1" applyBorder="1"/>
    <xf numFmtId="166" fontId="0" fillId="0" borderId="0" xfId="1" applyNumberFormat="1" applyFont="1" applyBorder="1"/>
    <xf numFmtId="0" fontId="7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5" formatCode="[$₹-4009]\ #,##0"/>
    </dxf>
    <dxf>
      <numFmt numFmtId="164" formatCode="[$-409]d\-mmm\-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cap="all" baseline="0"/>
              <a:t>Expense Distribution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639-514F-BD32-1999EAF465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639-514F-BD32-1999EAF465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639-514F-BD32-1999EAF4657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639-514F-BD32-1999EAF4657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639-514F-BD32-1999EAF4657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639-514F-BD32-1999EAF4657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639-514F-BD32-1999EAF465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Vs Actual'!$A$2:$A$8</c:f>
              <c:strCache>
                <c:ptCount val="7"/>
                <c:pt idx="0">
                  <c:v>Food</c:v>
                </c:pt>
                <c:pt idx="1">
                  <c:v>Travel</c:v>
                </c:pt>
                <c:pt idx="2">
                  <c:v>Education</c:v>
                </c:pt>
                <c:pt idx="3">
                  <c:v>Gym/Fitness</c:v>
                </c:pt>
                <c:pt idx="4">
                  <c:v>Shopping</c:v>
                </c:pt>
                <c:pt idx="5">
                  <c:v>Entertainment</c:v>
                </c:pt>
                <c:pt idx="6">
                  <c:v>Other</c:v>
                </c:pt>
              </c:strCache>
            </c:strRef>
          </c:cat>
          <c:val>
            <c:numRef>
              <c:f>'Budget Vs Actual'!$C$2:$C$8</c:f>
              <c:numCache>
                <c:formatCode>[$₹-4009]\ #,##0</c:formatCode>
                <c:ptCount val="7"/>
                <c:pt idx="0">
                  <c:v>7400</c:v>
                </c:pt>
                <c:pt idx="1">
                  <c:v>1400</c:v>
                </c:pt>
                <c:pt idx="2">
                  <c:v>2500</c:v>
                </c:pt>
                <c:pt idx="3">
                  <c:v>3700</c:v>
                </c:pt>
                <c:pt idx="4">
                  <c:v>2500</c:v>
                </c:pt>
                <c:pt idx="5">
                  <c:v>1800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639-514F-BD32-1999EAF4657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Budget vs Actual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Vs Actual'!$B$1</c:f>
              <c:strCache>
                <c:ptCount val="1"/>
                <c:pt idx="0">
                  <c:v>Budget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'Budget Vs Actual'!$A$2:$A$8</c:f>
              <c:strCache>
                <c:ptCount val="7"/>
                <c:pt idx="0">
                  <c:v>Food</c:v>
                </c:pt>
                <c:pt idx="1">
                  <c:v>Travel</c:v>
                </c:pt>
                <c:pt idx="2">
                  <c:v>Education</c:v>
                </c:pt>
                <c:pt idx="3">
                  <c:v>Gym/Fitness</c:v>
                </c:pt>
                <c:pt idx="4">
                  <c:v>Shopping</c:v>
                </c:pt>
                <c:pt idx="5">
                  <c:v>Entertainment</c:v>
                </c:pt>
                <c:pt idx="6">
                  <c:v>Other</c:v>
                </c:pt>
              </c:strCache>
            </c:strRef>
          </c:cat>
          <c:val>
            <c:numRef>
              <c:f>'Budget Vs Actual'!$B$2:$B$8</c:f>
              <c:numCache>
                <c:formatCode>[$₹-4009]\ #,##0</c:formatCode>
                <c:ptCount val="7"/>
                <c:pt idx="0">
                  <c:v>6000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3000</c:v>
                </c:pt>
                <c:pt idx="5">
                  <c:v>2000</c:v>
                </c:pt>
                <c:pt idx="6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8-F741-BF60-0174EE243052}"/>
            </c:ext>
          </c:extLst>
        </c:ser>
        <c:ser>
          <c:idx val="1"/>
          <c:order val="1"/>
          <c:tx>
            <c:strRef>
              <c:f>'Budget Vs Actual'!$C$1</c:f>
              <c:strCache>
                <c:ptCount val="1"/>
                <c:pt idx="0">
                  <c:v>Actual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'Budget Vs Actual'!$A$2:$A$8</c:f>
              <c:strCache>
                <c:ptCount val="7"/>
                <c:pt idx="0">
                  <c:v>Food</c:v>
                </c:pt>
                <c:pt idx="1">
                  <c:v>Travel</c:v>
                </c:pt>
                <c:pt idx="2">
                  <c:v>Education</c:v>
                </c:pt>
                <c:pt idx="3">
                  <c:v>Gym/Fitness</c:v>
                </c:pt>
                <c:pt idx="4">
                  <c:v>Shopping</c:v>
                </c:pt>
                <c:pt idx="5">
                  <c:v>Entertainment</c:v>
                </c:pt>
                <c:pt idx="6">
                  <c:v>Other</c:v>
                </c:pt>
              </c:strCache>
            </c:strRef>
          </c:cat>
          <c:val>
            <c:numRef>
              <c:f>'Budget Vs Actual'!$C$2:$C$8</c:f>
              <c:numCache>
                <c:formatCode>[$₹-4009]\ #,##0</c:formatCode>
                <c:ptCount val="7"/>
                <c:pt idx="0">
                  <c:v>7400</c:v>
                </c:pt>
                <c:pt idx="1">
                  <c:v>1400</c:v>
                </c:pt>
                <c:pt idx="2">
                  <c:v>2500</c:v>
                </c:pt>
                <c:pt idx="3">
                  <c:v>3700</c:v>
                </c:pt>
                <c:pt idx="4">
                  <c:v>2500</c:v>
                </c:pt>
                <c:pt idx="5">
                  <c:v>1800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48-F741-BF60-0174EE2430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39166976"/>
        <c:axId val="1722711360"/>
      </c:barChart>
      <c:catAx>
        <c:axId val="173916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711360"/>
        <c:crosses val="autoZero"/>
        <c:auto val="1"/>
        <c:lblAlgn val="ctr"/>
        <c:lblOffset val="100"/>
        <c:noMultiLvlLbl val="0"/>
      </c:catAx>
      <c:valAx>
        <c:axId val="172271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16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8466</xdr:rowOff>
    </xdr:from>
    <xdr:to>
      <xdr:col>4</xdr:col>
      <xdr:colOff>723900</xdr:colOff>
      <xdr:row>24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376267-FF84-5C49-ACB3-D0C8688234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7</xdr:row>
      <xdr:rowOff>12700</xdr:rowOff>
    </xdr:from>
    <xdr:to>
      <xdr:col>11</xdr:col>
      <xdr:colOff>698500</xdr:colOff>
      <xdr:row>24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2B3EC9-1292-054A-93F1-3FDAA271E0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C1BE8A-4750-734B-931C-9AED096189F7}" name="ExpenseTable" displayName="ExpenseTable" ref="A1:F17" totalsRowShown="0" headerRowDxfId="5">
  <autoFilter ref="A1:F17" xr:uid="{72C1BE8A-4750-734B-931C-9AED096189F7}"/>
  <tableColumns count="6">
    <tableColumn id="1" xr3:uid="{0B231FEA-F67E-8148-98BA-1B89E281B3A1}" name="Date" dataDxfId="4"/>
    <tableColumn id="2" xr3:uid="{2CD21624-887B-5C4B-A42C-D4B86CA69AEA}" name="Type"/>
    <tableColumn id="3" xr3:uid="{B7FD75CE-9FE3-554C-AF28-3AD3752C7FEC}" name="Category"/>
    <tableColumn id="4" xr3:uid="{784627DF-3F49-FB4F-8E18-19C901153AE6}" name="Description"/>
    <tableColumn id="5" xr3:uid="{4392E43C-DA96-8A40-ACF5-2CE5AC70E251}" name="Payment Mode"/>
    <tableColumn id="6" xr3:uid="{6E461DB2-ACC7-CF4D-98A4-5757C5D65419}" name="Amount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B01B9-9D38-1247-9BA3-517EF5FB0E1C}">
  <sheetPr>
    <tabColor theme="8" tint="-0.249977111117893"/>
  </sheetPr>
  <dimension ref="A1:F17"/>
  <sheetViews>
    <sheetView tabSelected="1" zoomScale="167" workbookViewId="0">
      <selection activeCell="A17" sqref="A17"/>
    </sheetView>
  </sheetViews>
  <sheetFormatPr baseColWidth="10" defaultRowHeight="16" x14ac:dyDescent="0.2"/>
  <cols>
    <col min="1" max="1" width="9.5" style="3" bestFit="1" customWidth="1"/>
    <col min="2" max="2" width="7.83203125" bestFit="1" customWidth="1"/>
    <col min="3" max="3" width="12.83203125" bestFit="1" customWidth="1"/>
    <col min="4" max="4" width="21.5" bestFit="1" customWidth="1"/>
    <col min="5" max="5" width="14.5" customWidth="1"/>
    <col min="6" max="6" width="11.6640625" customWidth="1"/>
  </cols>
  <sheetData>
    <row r="1" spans="1:6" x14ac:dyDescent="0.2">
      <c r="A1" s="2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">
      <c r="A2" s="3">
        <v>46296</v>
      </c>
      <c r="B2" t="s">
        <v>7</v>
      </c>
      <c r="C2" t="s">
        <v>8</v>
      </c>
      <c r="D2" t="s">
        <v>9</v>
      </c>
      <c r="E2" t="s">
        <v>10</v>
      </c>
      <c r="F2" s="4">
        <v>25000</v>
      </c>
    </row>
    <row r="3" spans="1:6" x14ac:dyDescent="0.2">
      <c r="A3" s="3">
        <v>46296</v>
      </c>
      <c r="B3" t="s">
        <v>11</v>
      </c>
      <c r="C3" t="s">
        <v>12</v>
      </c>
      <c r="D3" t="s">
        <v>13</v>
      </c>
      <c r="E3" t="s">
        <v>10</v>
      </c>
      <c r="F3" s="4">
        <v>4200</v>
      </c>
    </row>
    <row r="4" spans="1:6" x14ac:dyDescent="0.2">
      <c r="A4" s="3">
        <v>46297</v>
      </c>
      <c r="B4" t="s">
        <v>11</v>
      </c>
      <c r="C4" t="s">
        <v>14</v>
      </c>
      <c r="D4" t="s">
        <v>15</v>
      </c>
      <c r="E4" t="s">
        <v>10</v>
      </c>
      <c r="F4" s="4">
        <v>800</v>
      </c>
    </row>
    <row r="5" spans="1:6" x14ac:dyDescent="0.2">
      <c r="A5" s="3">
        <v>46298</v>
      </c>
      <c r="B5" t="s">
        <v>11</v>
      </c>
      <c r="C5" t="s">
        <v>16</v>
      </c>
      <c r="D5" t="s">
        <v>17</v>
      </c>
      <c r="E5" t="s">
        <v>10</v>
      </c>
      <c r="F5" s="4">
        <v>1500</v>
      </c>
    </row>
    <row r="6" spans="1:6" x14ac:dyDescent="0.2">
      <c r="A6" s="3">
        <v>46299</v>
      </c>
      <c r="B6" t="s">
        <v>11</v>
      </c>
      <c r="C6" t="s">
        <v>18</v>
      </c>
      <c r="D6" t="s">
        <v>19</v>
      </c>
      <c r="E6" t="s">
        <v>10</v>
      </c>
      <c r="F6" s="4">
        <v>2500</v>
      </c>
    </row>
    <row r="7" spans="1:6" x14ac:dyDescent="0.2">
      <c r="A7" s="3">
        <v>46300</v>
      </c>
      <c r="B7" t="s">
        <v>11</v>
      </c>
      <c r="C7" t="s">
        <v>20</v>
      </c>
      <c r="D7" t="s">
        <v>21</v>
      </c>
      <c r="E7" t="s">
        <v>22</v>
      </c>
      <c r="F7" s="4">
        <v>1800</v>
      </c>
    </row>
    <row r="8" spans="1:6" x14ac:dyDescent="0.2">
      <c r="A8" s="3">
        <v>46301</v>
      </c>
      <c r="B8" t="s">
        <v>11</v>
      </c>
      <c r="C8" t="s">
        <v>23</v>
      </c>
      <c r="D8" t="s">
        <v>24</v>
      </c>
      <c r="E8" t="s">
        <v>10</v>
      </c>
      <c r="F8" s="4">
        <v>1000</v>
      </c>
    </row>
    <row r="9" spans="1:6" x14ac:dyDescent="0.2">
      <c r="A9" s="3">
        <v>46303</v>
      </c>
      <c r="B9" t="s">
        <v>11</v>
      </c>
      <c r="C9" t="s">
        <v>12</v>
      </c>
      <c r="D9" t="s">
        <v>25</v>
      </c>
      <c r="E9" t="s">
        <v>10</v>
      </c>
      <c r="F9" s="4">
        <v>1200</v>
      </c>
    </row>
    <row r="10" spans="1:6" x14ac:dyDescent="0.2">
      <c r="A10" s="3">
        <v>46305</v>
      </c>
      <c r="B10" t="s">
        <v>11</v>
      </c>
      <c r="C10" t="s">
        <v>14</v>
      </c>
      <c r="D10" t="s">
        <v>26</v>
      </c>
      <c r="E10" t="s">
        <v>10</v>
      </c>
      <c r="F10" s="4">
        <v>600</v>
      </c>
    </row>
    <row r="11" spans="1:6" x14ac:dyDescent="0.2">
      <c r="A11" s="3">
        <v>46307</v>
      </c>
      <c r="B11" t="s">
        <v>11</v>
      </c>
      <c r="C11" t="s">
        <v>16</v>
      </c>
      <c r="D11" t="s">
        <v>27</v>
      </c>
      <c r="E11" t="s">
        <v>22</v>
      </c>
      <c r="F11" s="4">
        <v>1000</v>
      </c>
    </row>
    <row r="12" spans="1:6" x14ac:dyDescent="0.2">
      <c r="A12" s="3">
        <v>46310</v>
      </c>
      <c r="B12" t="s">
        <v>11</v>
      </c>
      <c r="C12" t="s">
        <v>12</v>
      </c>
      <c r="D12" t="s">
        <v>28</v>
      </c>
      <c r="E12" t="s">
        <v>10</v>
      </c>
      <c r="F12" s="4">
        <v>900</v>
      </c>
    </row>
    <row r="13" spans="1:6" x14ac:dyDescent="0.2">
      <c r="A13" s="3">
        <v>46313</v>
      </c>
      <c r="B13" t="s">
        <v>11</v>
      </c>
      <c r="C13" t="s">
        <v>18</v>
      </c>
      <c r="D13" t="s">
        <v>29</v>
      </c>
      <c r="E13" t="s">
        <v>10</v>
      </c>
      <c r="F13" s="4">
        <v>1200</v>
      </c>
    </row>
    <row r="14" spans="1:6" x14ac:dyDescent="0.2">
      <c r="A14" s="3">
        <v>46315</v>
      </c>
      <c r="B14" t="s">
        <v>11</v>
      </c>
      <c r="C14" t="s">
        <v>20</v>
      </c>
      <c r="D14" t="s">
        <v>30</v>
      </c>
      <c r="E14" t="s">
        <v>10</v>
      </c>
      <c r="F14" s="4">
        <v>700</v>
      </c>
    </row>
    <row r="15" spans="1:6" x14ac:dyDescent="0.2">
      <c r="A15" s="3">
        <v>46317</v>
      </c>
      <c r="B15" t="s">
        <v>11</v>
      </c>
      <c r="C15" t="s">
        <v>23</v>
      </c>
      <c r="D15" t="s">
        <v>31</v>
      </c>
      <c r="E15" t="s">
        <v>10</v>
      </c>
      <c r="F15" s="4">
        <v>800</v>
      </c>
    </row>
    <row r="16" spans="1:6" x14ac:dyDescent="0.2">
      <c r="A16" s="3">
        <v>46320</v>
      </c>
      <c r="B16" t="s">
        <v>11</v>
      </c>
      <c r="C16" t="s">
        <v>12</v>
      </c>
      <c r="D16" t="s">
        <v>32</v>
      </c>
      <c r="E16" t="s">
        <v>10</v>
      </c>
      <c r="F16" s="4">
        <v>1100</v>
      </c>
    </row>
    <row r="17" spans="6:6" x14ac:dyDescent="0.2">
      <c r="F17" s="4"/>
    </row>
  </sheetData>
  <dataValidations count="3">
    <dataValidation type="list" allowBlank="1" showInputMessage="1" showErrorMessage="1" sqref="B2:B17" xr:uid="{5BD5E834-163F-4346-81F2-82DDB0941DE7}">
      <formula1>"Income,Expense"</formula1>
    </dataValidation>
    <dataValidation type="list" allowBlank="1" showInputMessage="1" showErrorMessage="1" sqref="C2:C17" xr:uid="{82D93D09-FE3E-104B-BE11-67E55D33D2C8}">
      <formula1>"Food,Travel,Education,Gym/Fitness,Shopping,Entertainment,Other"</formula1>
    </dataValidation>
    <dataValidation type="list" allowBlank="1" showInputMessage="1" showErrorMessage="1" sqref="E2:E17" xr:uid="{A2799259-1951-674F-9164-ABCF43DEF876}">
      <formula1>"UPI,Card,Cash,Bank Transfer"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CCB82-3BAB-F249-98CB-B848A50A3243}">
  <sheetPr>
    <tabColor theme="8" tint="0.39997558519241921"/>
  </sheetPr>
  <dimension ref="A1:E8"/>
  <sheetViews>
    <sheetView zoomScale="178" workbookViewId="0">
      <selection activeCell="E15" sqref="E15"/>
    </sheetView>
  </sheetViews>
  <sheetFormatPr baseColWidth="10" defaultRowHeight="16" x14ac:dyDescent="0.2"/>
  <cols>
    <col min="1" max="1" width="12" bestFit="1" customWidth="1"/>
    <col min="5" max="5" width="12" bestFit="1" customWidth="1"/>
  </cols>
  <sheetData>
    <row r="1" spans="1:5" x14ac:dyDescent="0.2">
      <c r="A1" s="8" t="s">
        <v>0</v>
      </c>
      <c r="B1" s="8" t="s">
        <v>33</v>
      </c>
      <c r="C1" s="8" t="s">
        <v>34</v>
      </c>
      <c r="D1" s="8" t="s">
        <v>35</v>
      </c>
      <c r="E1" s="8" t="s">
        <v>36</v>
      </c>
    </row>
    <row r="2" spans="1:5" ht="17" x14ac:dyDescent="0.25">
      <c r="A2" s="6" t="s">
        <v>12</v>
      </c>
      <c r="B2" s="7">
        <v>6000</v>
      </c>
      <c r="C2" s="7">
        <f>SUMIFS(ExpenseTable[Amount],ExpenseTable[Category],A2,ExpenseTable[Type],"Expense")</f>
        <v>7400</v>
      </c>
      <c r="D2" s="7">
        <f>B2-C2</f>
        <v>-1400</v>
      </c>
      <c r="E2" s="5" t="str">
        <f>IF(D2&lt;0,"Over Budget","Under Budget")</f>
        <v>Over Budget</v>
      </c>
    </row>
    <row r="3" spans="1:5" ht="17" x14ac:dyDescent="0.25">
      <c r="A3" s="6" t="s">
        <v>14</v>
      </c>
      <c r="B3" s="7">
        <v>2000</v>
      </c>
      <c r="C3" s="7">
        <f>SUMIFS(ExpenseTable[Amount],ExpenseTable[Category],A3,ExpenseTable[Type],"Expense")</f>
        <v>1400</v>
      </c>
      <c r="D3" s="7">
        <f t="shared" ref="D3:D8" si="0">B3-C3</f>
        <v>600</v>
      </c>
      <c r="E3" s="5" t="str">
        <f t="shared" ref="E3:E8" si="1">IF(D3&lt;0,"Over Budget","Under Budget")</f>
        <v>Under Budget</v>
      </c>
    </row>
    <row r="4" spans="1:5" ht="17" x14ac:dyDescent="0.25">
      <c r="A4" s="6" t="s">
        <v>16</v>
      </c>
      <c r="B4" s="7">
        <v>3000</v>
      </c>
      <c r="C4" s="7">
        <f>SUMIFS(ExpenseTable[Amount],ExpenseTable[Category],A4,ExpenseTable[Type],"Expense")</f>
        <v>2500</v>
      </c>
      <c r="D4" s="7">
        <f t="shared" si="0"/>
        <v>500</v>
      </c>
      <c r="E4" s="5" t="str">
        <f t="shared" si="1"/>
        <v>Under Budget</v>
      </c>
    </row>
    <row r="5" spans="1:5" ht="17" x14ac:dyDescent="0.25">
      <c r="A5" s="6" t="s">
        <v>18</v>
      </c>
      <c r="B5" s="7">
        <v>4000</v>
      </c>
      <c r="C5" s="7">
        <f>SUMIFS(ExpenseTable[Amount],ExpenseTable[Category],A5,ExpenseTable[Type],"Expense")</f>
        <v>3700</v>
      </c>
      <c r="D5" s="7">
        <f t="shared" si="0"/>
        <v>300</v>
      </c>
      <c r="E5" s="5" t="str">
        <f t="shared" si="1"/>
        <v>Under Budget</v>
      </c>
    </row>
    <row r="6" spans="1:5" ht="17" x14ac:dyDescent="0.25">
      <c r="A6" s="6" t="s">
        <v>20</v>
      </c>
      <c r="B6" s="7">
        <v>3000</v>
      </c>
      <c r="C6" s="7">
        <f>SUMIFS(ExpenseTable[Amount],ExpenseTable[Category],A6,ExpenseTable[Type],"Expense")</f>
        <v>2500</v>
      </c>
      <c r="D6" s="7">
        <f t="shared" si="0"/>
        <v>500</v>
      </c>
      <c r="E6" s="5" t="str">
        <f t="shared" si="1"/>
        <v>Under Budget</v>
      </c>
    </row>
    <row r="7" spans="1:5" ht="17" x14ac:dyDescent="0.25">
      <c r="A7" s="6" t="s">
        <v>23</v>
      </c>
      <c r="B7" s="7">
        <v>2000</v>
      </c>
      <c r="C7" s="7">
        <f>SUMIFS(ExpenseTable[Amount],ExpenseTable[Category],A7,ExpenseTable[Type],"Expense")</f>
        <v>1800</v>
      </c>
      <c r="D7" s="7">
        <f t="shared" si="0"/>
        <v>200</v>
      </c>
      <c r="E7" s="5" t="str">
        <f t="shared" si="1"/>
        <v>Under Budget</v>
      </c>
    </row>
    <row r="8" spans="1:5" ht="17" x14ac:dyDescent="0.25">
      <c r="A8" s="6" t="s">
        <v>37</v>
      </c>
      <c r="B8" s="7">
        <v>1000</v>
      </c>
      <c r="C8" s="7">
        <f>SUMIFS(ExpenseTable[Amount],ExpenseTable[Category],A8,ExpenseTable[Type],"Expense")</f>
        <v>0</v>
      </c>
      <c r="D8" s="7">
        <f t="shared" si="0"/>
        <v>1000</v>
      </c>
      <c r="E8" s="5" t="str">
        <f t="shared" si="1"/>
        <v>Under Budget</v>
      </c>
    </row>
  </sheetData>
  <conditionalFormatting sqref="E2:E8">
    <cfRule type="containsText" dxfId="2" priority="1" operator="containsText" text="Under Budget">
      <formula>NOT(ISERROR(SEARCH("Under Budget",E2)))</formula>
    </cfRule>
    <cfRule type="containsText" dxfId="1" priority="2" operator="containsText" text="Over Budget">
      <formula>NOT(ISERROR(SEARCH("Over Budget",E2)))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23EC6-0197-D449-A158-55801146E1BD}">
  <sheetPr>
    <tabColor theme="8" tint="0.59999389629810485"/>
  </sheetPr>
  <dimension ref="A1:B7"/>
  <sheetViews>
    <sheetView zoomScale="170" workbookViewId="0">
      <selection activeCell="E16" sqref="E16"/>
    </sheetView>
  </sheetViews>
  <sheetFormatPr baseColWidth="10" defaultRowHeight="16" x14ac:dyDescent="0.2"/>
  <cols>
    <col min="1" max="1" width="24.1640625" bestFit="1" customWidth="1"/>
    <col min="2" max="2" width="9.1640625" bestFit="1" customWidth="1"/>
  </cols>
  <sheetData>
    <row r="1" spans="1:2" ht="27" x14ac:dyDescent="0.35">
      <c r="A1" s="11" t="s">
        <v>38</v>
      </c>
      <c r="B1" s="11" t="s">
        <v>39</v>
      </c>
    </row>
    <row r="2" spans="1:2" ht="17" x14ac:dyDescent="0.2">
      <c r="A2" s="12" t="s">
        <v>40</v>
      </c>
      <c r="B2" s="7">
        <f>SUMIFS(ExpenseTable[Amount],ExpenseTable[Type],"Income")</f>
        <v>25000</v>
      </c>
    </row>
    <row r="3" spans="1:2" x14ac:dyDescent="0.2">
      <c r="A3" s="13" t="s">
        <v>41</v>
      </c>
      <c r="B3" s="7">
        <f>SUMIFS(ExpenseTable[Amount],ExpenseTable[Type],"Expense")</f>
        <v>19300</v>
      </c>
    </row>
    <row r="4" spans="1:2" ht="17" x14ac:dyDescent="0.25">
      <c r="A4" s="14" t="s">
        <v>42</v>
      </c>
      <c r="B4" s="7">
        <f>B2-B3</f>
        <v>5700</v>
      </c>
    </row>
    <row r="5" spans="1:2" ht="17" x14ac:dyDescent="0.25">
      <c r="A5" s="14" t="s">
        <v>43</v>
      </c>
      <c r="B5" s="9">
        <f>B4/B2</f>
        <v>0.22800000000000001</v>
      </c>
    </row>
    <row r="6" spans="1:2" x14ac:dyDescent="0.2">
      <c r="A6" s="13" t="s">
        <v>44</v>
      </c>
      <c r="B6" s="10" t="str">
        <f>INDEX('Budget Vs Actual'!A2:A8, MATCH(MAX('Budget Vs Actual'!C2:C8), 'Budget Vs Actual'!C2:C8, 0))</f>
        <v>Food</v>
      </c>
    </row>
    <row r="7" spans="1:2" x14ac:dyDescent="0.2">
      <c r="A7" s="13" t="s">
        <v>45</v>
      </c>
      <c r="B7" s="7">
        <f>_xlfn.MAXIFS(ExpenseTable[Amount],ExpenseTable[Type],"Expense")</f>
        <v>4200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D430B-B57A-1042-A433-5D157BDC57D4}">
  <sheetPr>
    <tabColor theme="8" tint="0.79998168889431442"/>
  </sheetPr>
  <dimension ref="A1:N5"/>
  <sheetViews>
    <sheetView showGridLines="0" zoomScale="125" workbookViewId="0">
      <selection activeCell="L5" sqref="L5"/>
    </sheetView>
  </sheetViews>
  <sheetFormatPr baseColWidth="10" defaultRowHeight="16" outlineLevelRow="1" x14ac:dyDescent="0.2"/>
  <cols>
    <col min="1" max="1" width="14" bestFit="1" customWidth="1"/>
    <col min="2" max="2" width="13" bestFit="1" customWidth="1"/>
    <col min="3" max="3" width="15.6640625" bestFit="1" customWidth="1"/>
    <col min="4" max="4" width="11.6640625" bestFit="1" customWidth="1"/>
    <col min="5" max="5" width="12.33203125" bestFit="1" customWidth="1"/>
    <col min="7" max="7" width="13.83203125" bestFit="1" customWidth="1"/>
    <col min="14" max="14" width="11.1640625" bestFit="1" customWidth="1"/>
  </cols>
  <sheetData>
    <row r="1" spans="1:14" ht="17" customHeight="1" outlineLevel="1" x14ac:dyDescent="0.3">
      <c r="A1" s="21" t="s">
        <v>46</v>
      </c>
      <c r="B1" s="21"/>
      <c r="C1" s="21"/>
      <c r="D1" s="21"/>
      <c r="E1" s="21"/>
      <c r="F1" s="21"/>
      <c r="G1" s="21"/>
      <c r="H1" s="21"/>
    </row>
    <row r="2" spans="1:14" ht="20" x14ac:dyDescent="0.3">
      <c r="A2" s="22" t="s">
        <v>47</v>
      </c>
      <c r="B2" s="22"/>
      <c r="C2" s="22"/>
      <c r="D2" s="22"/>
      <c r="E2" s="22"/>
      <c r="F2" s="22"/>
      <c r="G2" s="22"/>
      <c r="H2" s="22"/>
    </row>
    <row r="3" spans="1:14" x14ac:dyDescent="0.2">
      <c r="N3" s="20"/>
    </row>
    <row r="4" spans="1:14" ht="19" x14ac:dyDescent="0.25">
      <c r="A4" s="17" t="s">
        <v>40</v>
      </c>
      <c r="B4" s="16"/>
      <c r="C4" s="17" t="s">
        <v>41</v>
      </c>
      <c r="D4" s="16"/>
      <c r="E4" s="17" t="s">
        <v>42</v>
      </c>
      <c r="F4" s="16"/>
      <c r="G4" s="17" t="s">
        <v>48</v>
      </c>
    </row>
    <row r="5" spans="1:14" x14ac:dyDescent="0.2">
      <c r="A5" s="18">
        <f>Analysis!B2</f>
        <v>25000</v>
      </c>
      <c r="B5" s="15"/>
      <c r="C5" s="18">
        <f>Analysis!B3</f>
        <v>19300</v>
      </c>
      <c r="D5" s="15"/>
      <c r="E5" s="18">
        <f>Analysis!B4</f>
        <v>5700</v>
      </c>
      <c r="F5" s="15"/>
      <c r="G5" s="19">
        <f>Analysis!B5</f>
        <v>0.22800000000000001</v>
      </c>
    </row>
  </sheetData>
  <mergeCells count="2">
    <mergeCell ref="A1:H1"/>
    <mergeCell ref="A2:H2"/>
  </mergeCells>
  <conditionalFormatting sqref="E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 </vt:lpstr>
      <vt:lpstr>Budget Vs Actual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Swarnkar</dc:creator>
  <cp:lastModifiedBy>Anuj Swarnkar</cp:lastModifiedBy>
  <dcterms:created xsi:type="dcterms:W3CDTF">2026-10-04T16:57:48Z</dcterms:created>
  <dcterms:modified xsi:type="dcterms:W3CDTF">2026-10-22T04:00:00Z</dcterms:modified>
</cp:coreProperties>
</file>